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<sst xmlns="http://schemas.openxmlformats.org/spreadsheetml/2006/main" count="26" uniqueCount="26">
  <si>
    <r>
      <rPr>
        <rFont val="Arial"/>
        <b/>
        <color rgb="FF000000"/>
        <sz val="16.0"/>
      </rPr>
      <t xml:space="preserve">Math to President's Club Calculator
</t>
    </r>
    <r>
      <rPr>
        <rFont val="Arial"/>
        <b val="0"/>
        <color rgb="FF000000"/>
        <sz val="11.0"/>
      </rPr>
      <t>By 30 Minutes to President's Club</t>
    </r>
  </si>
  <si>
    <r>
      <rPr>
        <rFont val="Arial"/>
        <i/>
        <color theme="1"/>
        <u/>
      </rPr>
      <t>Instructions</t>
    </r>
    <r>
      <rPr>
        <rFont val="Arial"/>
        <i/>
        <color theme="1"/>
      </rPr>
      <t xml:space="preserve">: Change anything in </t>
    </r>
    <r>
      <rPr>
        <rFont val="Arial"/>
        <b/>
        <i/>
        <color rgb="FF0000FF"/>
      </rPr>
      <t>BLUE</t>
    </r>
    <r>
      <rPr>
        <rFont val="Arial"/>
        <i/>
        <color rgb="FF0000FF"/>
      </rPr>
      <t xml:space="preserve"> </t>
    </r>
    <r>
      <rPr>
        <rFont val="Arial"/>
        <i/>
        <color theme="1"/>
      </rPr>
      <t xml:space="preserve">// don't change anything in </t>
    </r>
    <r>
      <rPr>
        <rFont val="Arial"/>
        <b/>
        <i/>
        <color theme="1"/>
      </rPr>
      <t>BLACK</t>
    </r>
    <r>
      <rPr>
        <rFont val="Arial"/>
        <i/>
        <color theme="1"/>
      </rPr>
      <t xml:space="preserve"> because those are formulas</t>
    </r>
  </si>
  <si>
    <t>Your Goals</t>
  </si>
  <si>
    <t>Deals, Opps, Meetings to Goal (MONTHLY)</t>
  </si>
  <si>
    <t>Your Monthly Quota</t>
  </si>
  <si>
    <t>Deals to Goal</t>
  </si>
  <si>
    <t>Your Attainment Goal</t>
  </si>
  <si>
    <t>Opps to Goal</t>
  </si>
  <si>
    <t>Your Revenue Goal</t>
  </si>
  <si>
    <t>Meetings to Goal</t>
  </si>
  <si>
    <t>Outbound Meetings to Goal</t>
  </si>
  <si>
    <t>Your Deal Conversion Rates</t>
  </si>
  <si>
    <t>Average Deal Size</t>
  </si>
  <si>
    <t>Activities Needed (WEEKLY)</t>
  </si>
  <si>
    <t>Average Win Rate</t>
  </si>
  <si>
    <t>Outbound Meetings</t>
  </si>
  <si>
    <t>Meeting-to-Opp Ratio</t>
  </si>
  <si>
    <t>Cold Calls</t>
  </si>
  <si>
    <t>% Meetings from Outbound</t>
  </si>
  <si>
    <t>Cold Emails</t>
  </si>
  <si>
    <t>Your Prospecting Conversion Rates</t>
  </si>
  <si>
    <t>Email-to-Meeting Rate</t>
  </si>
  <si>
    <t>Call-to-Meeting Rate</t>
  </si>
  <si>
    <t>Meetings from Call vs Email</t>
  </si>
  <si>
    <t>Don't change these unless you know your ratios ^^</t>
  </si>
  <si>
    <r>
      <rPr>
        <b/>
        <color rgb="FF000000"/>
        <sz val="16.0"/>
      </rPr>
      <t xml:space="preserve">   </t>
    </r>
    <r>
      <rPr>
        <b/>
        <color rgb="FF1155CC"/>
        <sz val="16.0"/>
        <u/>
      </rPr>
      <t>Get more like this on the 30MPC newsletter!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</si>
</sst>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0.0"/>
  </numFmts>
  <fonts count="8">
    <font>
      <sz val="10.0"/>
      <color rgb="FF000000"/>
      <name val="Arial"/>
      <scheme val="minor"/>
    </font>
    <font>
      <i/>
      <color theme="1"/>
      <name val="Arial"/>
      <scheme val="minor"/>
    </font>
    <font>
      <b/>
      <sz val="16.0"/>
      <color rgb="FF000000"/>
      <name val="Arial"/>
    </font>
    <font/>
    <font>
      <color theme="1"/>
      <name val="Arial"/>
      <scheme val="minor"/>
    </font>
    <font>
      <b/>
      <color theme="1"/>
      <name val="Arial"/>
      <scheme val="minor"/>
    </font>
    <font>
      <color rgb="FF0000FF"/>
      <name val="Arial"/>
      <scheme val="minor"/>
    </font>
    <font>
      <b/>
      <u/>
      <sz val="16.0"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C6FCD0"/>
        <bgColor rgb="FFC6FCD0"/>
      </patternFill>
    </fill>
    <fill>
      <patternFill patternType="solid">
        <fgColor rgb="FFFCF152"/>
        <bgColor rgb="FFFCF152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4" fillId="0" fontId="1" numFmtId="0" xfId="0" applyAlignment="1" applyBorder="1" applyFont="1">
      <alignment readingOrder="0"/>
    </xf>
    <xf borderId="5" fillId="0" fontId="4" numFmtId="0" xfId="0" applyBorder="1" applyFont="1"/>
    <xf borderId="4" fillId="0" fontId="4" numFmtId="0" xfId="0" applyBorder="1" applyFont="1"/>
    <xf borderId="4" fillId="2" fontId="5" numFmtId="0" xfId="0" applyAlignment="1" applyBorder="1" applyFont="1">
      <alignment readingOrder="0"/>
    </xf>
    <xf borderId="0" fillId="2" fontId="5" numFmtId="0" xfId="0" applyFont="1"/>
    <xf borderId="0" fillId="0" fontId="5" numFmtId="0" xfId="0" applyFont="1"/>
    <xf borderId="0" fillId="2" fontId="5" numFmtId="0" xfId="0" applyAlignment="1" applyFont="1">
      <alignment readingOrder="0"/>
    </xf>
    <xf borderId="5" fillId="2" fontId="4" numFmtId="0" xfId="0" applyBorder="1" applyFont="1"/>
    <xf borderId="4" fillId="0" fontId="5" numFmtId="0" xfId="0" applyAlignment="1" applyBorder="1" applyFont="1">
      <alignment readingOrder="0"/>
    </xf>
    <xf borderId="0" fillId="0" fontId="6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9" xfId="0" applyAlignment="1" applyFont="1" applyNumberFormat="1">
      <alignment readingOrder="0"/>
    </xf>
    <xf borderId="0" fillId="3" fontId="5" numFmtId="0" xfId="0" applyAlignment="1" applyFill="1" applyFont="1">
      <alignment readingOrder="0"/>
    </xf>
    <xf borderId="5" fillId="3" fontId="4" numFmtId="165" xfId="0" applyBorder="1" applyFont="1" applyNumberFormat="1"/>
    <xf borderId="5" fillId="3" fontId="4" numFmtId="1" xfId="0" applyBorder="1" applyFont="1" applyNumberFormat="1"/>
    <xf borderId="0" fillId="0" fontId="6" numFmtId="10" xfId="0" applyAlignment="1" applyFont="1" applyNumberFormat="1">
      <alignment readingOrder="0"/>
    </xf>
    <xf borderId="1" fillId="2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581025</xdr:colOff>
      <xdr:row>24</xdr:row>
      <xdr:rowOff>85725</xdr:rowOff>
    </xdr:from>
    <xdr:ext cx="428625" cy="419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30mpc.com/newsletter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23.13"/>
    <col customWidth="1" min="3" max="3" width="16.88"/>
    <col customWidth="1" min="4" max="4" width="5.0"/>
    <col customWidth="1" min="5" max="5" width="25.25"/>
  </cols>
  <sheetData>
    <row r="1">
      <c r="B1" s="1"/>
    </row>
    <row r="2">
      <c r="B2" s="2" t="s">
        <v>0</v>
      </c>
      <c r="C2" s="3"/>
      <c r="D2" s="3"/>
      <c r="E2" s="3"/>
      <c r="F2" s="4"/>
    </row>
    <row r="3">
      <c r="B3" s="5"/>
      <c r="F3" s="6"/>
    </row>
    <row r="4">
      <c r="B4" s="7"/>
      <c r="C4" s="8"/>
      <c r="D4" s="8"/>
      <c r="E4" s="8"/>
      <c r="F4" s="9"/>
    </row>
    <row r="5">
      <c r="B5" s="10" t="s">
        <v>1</v>
      </c>
      <c r="F5" s="11"/>
    </row>
    <row r="6">
      <c r="B6" s="12"/>
      <c r="F6" s="11"/>
    </row>
    <row r="7">
      <c r="B7" s="13" t="s">
        <v>2</v>
      </c>
      <c r="C7" s="14"/>
      <c r="D7" s="15"/>
      <c r="E7" s="16" t="s">
        <v>3</v>
      </c>
      <c r="F7" s="17"/>
    </row>
    <row r="8">
      <c r="B8" s="18" t="s">
        <v>4</v>
      </c>
      <c r="C8" s="19">
        <v>100000.0</v>
      </c>
      <c r="E8" s="20" t="s">
        <v>5</v>
      </c>
      <c r="F8" s="11">
        <f>C10/C13</f>
        <v>6.25</v>
      </c>
    </row>
    <row r="9">
      <c r="B9" s="18" t="s">
        <v>6</v>
      </c>
      <c r="C9" s="21">
        <v>1.25</v>
      </c>
      <c r="E9" s="20" t="s">
        <v>7</v>
      </c>
      <c r="F9" s="11">
        <f t="shared" ref="F9:F10" si="1">F8/C14</f>
        <v>25</v>
      </c>
    </row>
    <row r="10">
      <c r="B10" s="18" t="s">
        <v>8</v>
      </c>
      <c r="C10" s="19">
        <f>C8*C9</f>
        <v>125000</v>
      </c>
      <c r="E10" s="20" t="s">
        <v>9</v>
      </c>
      <c r="F10" s="11">
        <f t="shared" si="1"/>
        <v>50</v>
      </c>
    </row>
    <row r="11">
      <c r="B11" s="12"/>
      <c r="E11" s="20" t="s">
        <v>10</v>
      </c>
      <c r="F11" s="11">
        <f>F10*C16</f>
        <v>16.5</v>
      </c>
    </row>
    <row r="12">
      <c r="B12" s="13" t="s">
        <v>11</v>
      </c>
      <c r="C12" s="14"/>
      <c r="F12" s="11"/>
    </row>
    <row r="13">
      <c r="B13" s="18" t="s">
        <v>12</v>
      </c>
      <c r="C13" s="19">
        <v>20000.0</v>
      </c>
      <c r="E13" s="16" t="s">
        <v>13</v>
      </c>
      <c r="F13" s="17"/>
    </row>
    <row r="14">
      <c r="B14" s="18" t="s">
        <v>14</v>
      </c>
      <c r="C14" s="21">
        <v>0.25</v>
      </c>
      <c r="E14" s="22" t="s">
        <v>15</v>
      </c>
      <c r="F14" s="23">
        <f>F11/4</f>
        <v>4.125</v>
      </c>
    </row>
    <row r="15">
      <c r="B15" s="18" t="s">
        <v>16</v>
      </c>
      <c r="C15" s="21">
        <v>0.5</v>
      </c>
      <c r="E15" s="22" t="s">
        <v>17</v>
      </c>
      <c r="F15" s="24">
        <f>C21*(F14/C20)</f>
        <v>247.005988</v>
      </c>
    </row>
    <row r="16">
      <c r="B16" s="18" t="s">
        <v>18</v>
      </c>
      <c r="C16" s="21">
        <v>0.33</v>
      </c>
      <c r="E16" s="22" t="s">
        <v>19</v>
      </c>
      <c r="F16" s="24">
        <f>(F14*(1-C21))/C19</f>
        <v>515.625</v>
      </c>
    </row>
    <row r="17">
      <c r="B17" s="12"/>
      <c r="F17" s="11"/>
    </row>
    <row r="18">
      <c r="B18" s="13" t="s">
        <v>20</v>
      </c>
      <c r="C18" s="14"/>
      <c r="F18" s="11"/>
    </row>
    <row r="19">
      <c r="B19" s="18" t="s">
        <v>21</v>
      </c>
      <c r="C19" s="25">
        <f>0.02*0.2</f>
        <v>0.004</v>
      </c>
      <c r="F19" s="11"/>
    </row>
    <row r="20">
      <c r="B20" s="18" t="s">
        <v>22</v>
      </c>
      <c r="C20" s="25">
        <f>0.05*0.167</f>
        <v>0.00835</v>
      </c>
      <c r="F20" s="11"/>
    </row>
    <row r="21">
      <c r="B21" s="18" t="s">
        <v>23</v>
      </c>
      <c r="C21" s="21">
        <v>0.5</v>
      </c>
      <c r="F21" s="11"/>
    </row>
    <row r="22">
      <c r="B22" s="12"/>
      <c r="F22" s="11"/>
    </row>
    <row r="23">
      <c r="B23" s="10" t="s">
        <v>24</v>
      </c>
      <c r="F23" s="11"/>
    </row>
    <row r="24">
      <c r="B24" s="12"/>
      <c r="F24" s="11"/>
    </row>
    <row r="25">
      <c r="B25" s="26" t="s">
        <v>25</v>
      </c>
      <c r="C25" s="3"/>
      <c r="D25" s="3"/>
      <c r="E25" s="3"/>
      <c r="F25" s="4"/>
    </row>
    <row r="26">
      <c r="B26" s="5"/>
      <c r="F26" s="6"/>
    </row>
    <row r="27">
      <c r="B27" s="7"/>
      <c r="C27" s="8"/>
      <c r="D27" s="8"/>
      <c r="E27" s="8"/>
      <c r="F27" s="9"/>
    </row>
  </sheetData>
  <mergeCells count="2">
    <mergeCell ref="B2:F4"/>
    <mergeCell ref="B25:F27"/>
  </mergeCells>
  <hyperlinks>
    <hyperlink r:id="rId1" ref="B25"/>
  </hyperlinks>
  <drawing r:id="rId2"/>
</worksheet>
</file>